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ugusto.zimmermann\Desktop\"/>
    </mc:Choice>
  </mc:AlternateContent>
  <xr:revisionPtr revIDLastSave="0" documentId="13_ncr:1_{B24C33DF-5548-48C4-9A99-9A165B8B4EC0}" xr6:coauthVersionLast="47" xr6:coauthVersionMax="47" xr10:uidLastSave="{00000000-0000-0000-0000-000000000000}"/>
  <bookViews>
    <workbookView xWindow="28680" yWindow="-1905" windowWidth="29040" windowHeight="15720" xr2:uid="{00000000-000D-0000-FFFF-FFFF00000000}"/>
  </bookViews>
  <sheets>
    <sheet name="Frota" sheetId="1" r:id="rId1"/>
  </sheets>
  <definedNames>
    <definedName name="_xlnm._FilterDatabase" localSheetId="0" hidden="1">Frota!$A$1:$J$37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4" i="1" l="1"/>
  <c r="U10" i="1"/>
  <c r="U27" i="1"/>
  <c r="U11" i="1"/>
  <c r="U15" i="1"/>
  <c r="U30" i="1"/>
  <c r="U7" i="1"/>
  <c r="U16" i="1"/>
  <c r="U4" i="1"/>
  <c r="U34" i="1"/>
  <c r="U14" i="1"/>
  <c r="U29" i="1"/>
  <c r="U31" i="1"/>
  <c r="U3" i="1"/>
  <c r="U32" i="1"/>
  <c r="U8" i="1"/>
  <c r="U21" i="1"/>
  <c r="U22" i="1"/>
  <c r="U26" i="1"/>
  <c r="U20" i="1"/>
  <c r="U23" i="1"/>
  <c r="U33" i="1"/>
  <c r="U19" i="1"/>
  <c r="U18" i="1"/>
  <c r="U6" i="1"/>
  <c r="U13" i="1"/>
  <c r="U2" i="1"/>
  <c r="U9" i="1"/>
  <c r="U28" i="1"/>
  <c r="U5" i="1"/>
  <c r="U35" i="1"/>
  <c r="U17" i="1"/>
  <c r="U12" i="1"/>
  <c r="U25" i="1"/>
  <c r="R5" i="1"/>
  <c r="R28" i="1"/>
  <c r="R25" i="1"/>
  <c r="R15" i="1"/>
  <c r="R19" i="1"/>
  <c r="R16" i="1"/>
  <c r="R32" i="1"/>
  <c r="R17" i="1"/>
  <c r="R22" i="1"/>
  <c r="R26" i="1"/>
  <c r="R10" i="1"/>
  <c r="R4" i="1"/>
  <c r="R14" i="1"/>
  <c r="R11" i="1"/>
  <c r="R29" i="1"/>
  <c r="R30" i="1"/>
  <c r="R3" i="1"/>
  <c r="R12" i="1"/>
  <c r="R21" i="1"/>
  <c r="R9" i="1"/>
  <c r="R2" i="1"/>
  <c r="R24" i="1"/>
  <c r="R27" i="1"/>
  <c r="R6" i="1"/>
  <c r="R18" i="1"/>
  <c r="R23" i="1"/>
  <c r="R20" i="1"/>
  <c r="R13" i="1"/>
  <c r="R8" i="1"/>
  <c r="R7" i="1"/>
  <c r="G11" i="1"/>
  <c r="H11" i="1" s="1"/>
  <c r="I11" i="1" s="1"/>
  <c r="G34" i="1"/>
  <c r="H34" i="1" s="1"/>
  <c r="I34" i="1" s="1"/>
  <c r="G5" i="1"/>
  <c r="H5" i="1" s="1"/>
  <c r="I5" i="1" s="1"/>
  <c r="G28" i="1"/>
  <c r="H28" i="1" s="1"/>
  <c r="I28" i="1" s="1"/>
  <c r="G13" i="1"/>
  <c r="H13" i="1" s="1"/>
  <c r="I13" i="1" s="1"/>
  <c r="G17" i="1"/>
  <c r="H17" i="1" s="1"/>
  <c r="I17" i="1" s="1"/>
  <c r="G14" i="1"/>
  <c r="H14" i="1" s="1"/>
  <c r="I14" i="1" s="1"/>
  <c r="G19" i="1"/>
  <c r="H19" i="1" s="1"/>
  <c r="I19" i="1" s="1"/>
  <c r="G3" i="1"/>
  <c r="H3" i="1" s="1"/>
  <c r="I3" i="1" s="1"/>
  <c r="G8" i="1"/>
  <c r="H8" i="1" s="1"/>
  <c r="I8" i="1" s="1"/>
  <c r="G15" i="1"/>
  <c r="H15" i="1" s="1"/>
  <c r="I15" i="1" s="1"/>
  <c r="G9" i="1"/>
  <c r="H9" i="1" s="1"/>
  <c r="I9" i="1" s="1"/>
  <c r="G2" i="1"/>
  <c r="H2" i="1" s="1"/>
  <c r="I2" i="1" s="1"/>
  <c r="G33" i="1"/>
  <c r="H33" i="1" s="1"/>
  <c r="I33" i="1" s="1"/>
  <c r="G30" i="1"/>
  <c r="H30" i="1" s="1"/>
  <c r="I30" i="1" s="1"/>
  <c r="G7" i="1"/>
  <c r="H7" i="1" s="1"/>
  <c r="I7" i="1" s="1"/>
  <c r="G10" i="1"/>
  <c r="H10" i="1" s="1"/>
  <c r="I10" i="1" s="1"/>
  <c r="G29" i="1"/>
  <c r="H29" i="1" s="1"/>
  <c r="I29" i="1" s="1"/>
  <c r="G16" i="1"/>
  <c r="H16" i="1" s="1"/>
  <c r="I16" i="1" s="1"/>
  <c r="G22" i="1"/>
  <c r="H22" i="1" s="1"/>
  <c r="I22" i="1" s="1"/>
  <c r="G12" i="1"/>
  <c r="H12" i="1" s="1"/>
  <c r="I12" i="1" s="1"/>
  <c r="G4" i="1"/>
  <c r="H4" i="1" s="1"/>
  <c r="I4" i="1" s="1"/>
  <c r="G23" i="1"/>
  <c r="H23" i="1" s="1"/>
  <c r="I23" i="1" s="1"/>
  <c r="G32" i="1"/>
  <c r="H32" i="1" s="1"/>
  <c r="I32" i="1" s="1"/>
  <c r="G24" i="1"/>
  <c r="H24" i="1" s="1"/>
  <c r="I24" i="1" s="1"/>
  <c r="G20" i="1"/>
  <c r="H20" i="1" s="1"/>
  <c r="I20" i="1" s="1"/>
  <c r="G21" i="1"/>
  <c r="H21" i="1" s="1"/>
  <c r="I21" i="1" s="1"/>
  <c r="G25" i="1"/>
  <c r="H25" i="1" s="1"/>
  <c r="I25" i="1" s="1"/>
  <c r="G26" i="1"/>
  <c r="H26" i="1" s="1"/>
  <c r="I26" i="1" s="1"/>
  <c r="G18" i="1"/>
  <c r="H18" i="1" s="1"/>
  <c r="I18" i="1" s="1"/>
  <c r="G35" i="1"/>
  <c r="H35" i="1" s="1"/>
  <c r="I35" i="1" s="1"/>
  <c r="G6" i="1"/>
  <c r="H6" i="1" s="1"/>
  <c r="I6" i="1" s="1"/>
  <c r="G31" i="1"/>
  <c r="H31" i="1" s="1"/>
  <c r="I31" i="1" s="1"/>
  <c r="G27" i="1"/>
  <c r="H27" i="1" s="1"/>
  <c r="I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Augusto Antonio Zimmermann</author>
  </authors>
  <commentList>
    <comment ref="D1" authorId="0" shapeId="0" xr:uid="{799D9474-F934-40F9-A700-08DAAE9C1CE4}">
      <text>
        <r>
          <rPr>
            <b/>
            <sz val="9"/>
            <color indexed="81"/>
            <rFont val="Segoe UI"/>
            <family val="2"/>
          </rPr>
          <t>Augusto Antonio Zimmermann:</t>
        </r>
        <r>
          <rPr>
            <sz val="9"/>
            <color indexed="81"/>
            <rFont val="Segoe UI"/>
            <family val="2"/>
          </rPr>
          <t xml:space="preserve">
amostra 10 meses
</t>
        </r>
      </text>
    </comment>
    <comment ref="T1" authorId="0" shapeId="0" xr:uid="{7C475FE5-6792-42ED-8CC9-620CB0EDCE44}">
      <text>
        <r>
          <rPr>
            <b/>
            <sz val="9"/>
            <color indexed="81"/>
            <rFont val="Segoe UI"/>
            <family val="2"/>
          </rPr>
          <t>Augusto Antonio Zimmermann:</t>
        </r>
        <r>
          <rPr>
            <sz val="9"/>
            <color indexed="81"/>
            <rFont val="Segoe UI"/>
            <family val="2"/>
          </rPr>
          <t xml:space="preserve">
amostra de um mês</t>
        </r>
      </text>
    </comment>
    <comment ref="K3" authorId="0" shapeId="0" xr:uid="{00000000-0006-0000-0000-000005000000}">
      <text>
        <r>
          <rPr>
            <b/>
            <sz val="9"/>
            <color indexed="81"/>
            <rFont val="Segoe UI"/>
            <charset val="1"/>
          </rPr>
          <t>Augusto Antonio Zimmermann:</t>
        </r>
        <r>
          <rPr>
            <sz val="9"/>
            <color indexed="81"/>
            <rFont val="Segoe UI"/>
            <charset val="1"/>
          </rPr>
          <t xml:space="preserve">
poucas vezes casa</t>
        </r>
      </text>
    </comment>
    <comment ref="K13" authorId="0" shapeId="0" xr:uid="{00000000-0006-0000-0000-00000C000000}">
      <text>
        <r>
          <rPr>
            <b/>
            <sz val="9"/>
            <color indexed="81"/>
            <rFont val="Segoe UI"/>
            <charset val="1"/>
          </rPr>
          <t>Augusto Antonio Zimmermann:</t>
        </r>
        <r>
          <rPr>
            <sz val="9"/>
            <color indexed="81"/>
            <rFont val="Segoe UI"/>
            <charset val="1"/>
          </rPr>
          <t xml:space="preserve">
ele mora bem longe, gasta muita gasolina pra ir pra casa almoçar</t>
        </r>
      </text>
    </comment>
    <comment ref="J18" authorId="0" shapeId="0" xr:uid="{00000000-0006-0000-0000-00000A000000}">
      <text>
        <r>
          <rPr>
            <b/>
            <sz val="9"/>
            <color indexed="81"/>
            <rFont val="Segoe UI"/>
            <charset val="1"/>
          </rPr>
          <t>Augusto Antonio Zimmermann:</t>
        </r>
        <r>
          <rPr>
            <sz val="9"/>
            <color indexed="81"/>
            <rFont val="Segoe UI"/>
            <charset val="1"/>
          </rPr>
          <t xml:space="preserve">
se o leonardo foi desligado, com quem está o carro?</t>
        </r>
      </text>
    </comment>
    <comment ref="K30" authorId="0" shapeId="0" xr:uid="{00000000-0006-0000-0000-000003000000}">
      <text>
        <r>
          <rPr>
            <b/>
            <sz val="9"/>
            <color indexed="81"/>
            <rFont val="Segoe UI"/>
            <charset val="1"/>
          </rPr>
          <t>Augusto Antonio Zimmermann:</t>
        </r>
        <r>
          <rPr>
            <sz val="9"/>
            <color indexed="81"/>
            <rFont val="Segoe UI"/>
            <charset val="1"/>
          </rPr>
          <t xml:space="preserve">
tem print na pasta de screenshot mostrando que o pessoal de curitiba ta estacionando o carro na rua</t>
        </r>
      </text>
    </comment>
    <comment ref="J34" authorId="0" shapeId="0" xr:uid="{00000000-0006-0000-0000-000007000000}">
      <text>
        <r>
          <rPr>
            <b/>
            <sz val="9"/>
            <color indexed="81"/>
            <rFont val="Segoe UI"/>
            <charset val="1"/>
          </rPr>
          <t>Augusto Antonio Zimmermann:</t>
        </r>
        <r>
          <rPr>
            <sz val="9"/>
            <color indexed="81"/>
            <rFont val="Segoe UI"/>
            <charset val="1"/>
          </rPr>
          <t xml:space="preserve">
se o luiz foi desligado, com quem está o carro?</t>
        </r>
      </text>
    </comment>
  </commentList>
</comments>
</file>

<file path=xl/sharedStrings.xml><?xml version="1.0" encoding="utf-8"?>
<sst xmlns="http://schemas.openxmlformats.org/spreadsheetml/2006/main" count="157" uniqueCount="94">
  <si>
    <t>PLACA</t>
  </si>
  <si>
    <t>NOME</t>
  </si>
  <si>
    <t>SFB4F58</t>
  </si>
  <si>
    <t>ADILSON</t>
  </si>
  <si>
    <t>SFB4I44</t>
  </si>
  <si>
    <t>ELITON</t>
  </si>
  <si>
    <t>SFB4I18</t>
  </si>
  <si>
    <t>JOSE ROBERTO</t>
  </si>
  <si>
    <t>SFB4F60</t>
  </si>
  <si>
    <t>WAGNER</t>
  </si>
  <si>
    <t>SFB4F51</t>
  </si>
  <si>
    <t>SFB4I46</t>
  </si>
  <si>
    <t>FRANCISCO</t>
  </si>
  <si>
    <t>SFB4F61</t>
  </si>
  <si>
    <t>MARCELO ZOCCOLI</t>
  </si>
  <si>
    <t>SFB4F63</t>
  </si>
  <si>
    <t>PAULO ROBERTO</t>
  </si>
  <si>
    <t>SFB4I34</t>
  </si>
  <si>
    <t>RICARDO PEREIRA</t>
  </si>
  <si>
    <t>SFB4I21</t>
  </si>
  <si>
    <t>LORAN</t>
  </si>
  <si>
    <t>SFB4G80</t>
  </si>
  <si>
    <t>VALDINEI VIANA</t>
  </si>
  <si>
    <t>SFB4F57</t>
  </si>
  <si>
    <t>JOÃO CARLOS</t>
  </si>
  <si>
    <t>SFB4I41</t>
  </si>
  <si>
    <t>CLEBER</t>
  </si>
  <si>
    <t>SFB4I37</t>
  </si>
  <si>
    <t>ADRIANO</t>
  </si>
  <si>
    <t>SFB4I38</t>
  </si>
  <si>
    <t>JENNIFER</t>
  </si>
  <si>
    <t>SFB4G81</t>
  </si>
  <si>
    <t>WELINGTON</t>
  </si>
  <si>
    <t>SFB4I33</t>
  </si>
  <si>
    <t>RICARDO CRISPIM</t>
  </si>
  <si>
    <t>SFB4F62</t>
  </si>
  <si>
    <t>ANGELA</t>
  </si>
  <si>
    <t>SFB4I26</t>
  </si>
  <si>
    <t>SFB4F66</t>
  </si>
  <si>
    <t>VALDINEI SOUZA</t>
  </si>
  <si>
    <t>SFB4I19</t>
  </si>
  <si>
    <t>SFB4F53</t>
  </si>
  <si>
    <t>MARCO ANDRÉ</t>
  </si>
  <si>
    <t>SFB4I59</t>
  </si>
  <si>
    <t>RAMON</t>
  </si>
  <si>
    <t>SFB4F64</t>
  </si>
  <si>
    <t>HELTON</t>
  </si>
  <si>
    <t>SFB4I49</t>
  </si>
  <si>
    <t>GEOVANE</t>
  </si>
  <si>
    <t>SFB4I16</t>
  </si>
  <si>
    <t>JOSE ANTONIO</t>
  </si>
  <si>
    <t>SFB4I55</t>
  </si>
  <si>
    <t>GILMAR</t>
  </si>
  <si>
    <t>SFB4F50</t>
  </si>
  <si>
    <t>VINICIUS</t>
  </si>
  <si>
    <t>SFB4F59</t>
  </si>
  <si>
    <t>SFB4F54</t>
  </si>
  <si>
    <t>SFB4I24</t>
  </si>
  <si>
    <t>LUIZ ROBERTO</t>
  </si>
  <si>
    <t>SFB4I42</t>
  </si>
  <si>
    <t>SHU1G83</t>
  </si>
  <si>
    <t>SFB4F47</t>
  </si>
  <si>
    <t>KM TOTAL</t>
  </si>
  <si>
    <t>RUIM</t>
  </si>
  <si>
    <t>BOM</t>
  </si>
  <si>
    <t>KM DNU</t>
  </si>
  <si>
    <t>SITUAÇÃO</t>
  </si>
  <si>
    <t>MÉDIO</t>
  </si>
  <si>
    <t>COMBUSTÍVEL</t>
  </si>
  <si>
    <t>ALUGUEL</t>
  </si>
  <si>
    <t>CUSTO TOTAL</t>
  </si>
  <si>
    <t>MÉDIA MÊS</t>
  </si>
  <si>
    <t>casa</t>
  </si>
  <si>
    <t>empresa</t>
  </si>
  <si>
    <t>DORME ONDE</t>
  </si>
  <si>
    <t>LEONARDO PACHECO</t>
  </si>
  <si>
    <t>ANDRE LUIS DA ROSA</t>
  </si>
  <si>
    <t>MARCIO PEIXOTO</t>
  </si>
  <si>
    <t>JOCENIR DA CONCEIÇÃO</t>
  </si>
  <si>
    <t>ALECSANDRO MENDES DA SILVA</t>
  </si>
  <si>
    <t>ANDERSON CASTRO ROSA</t>
  </si>
  <si>
    <t>CARLOS ALBERTO BUBNIAK</t>
  </si>
  <si>
    <t>KM PÓS TURNO</t>
  </si>
  <si>
    <t>KM POR DIA PÓS TURNO</t>
  </si>
  <si>
    <t>DIAS PÓS TURNO</t>
  </si>
  <si>
    <t>ALMOÇO EM EMPRESA %</t>
  </si>
  <si>
    <t>ALMOÇO EM CASA %</t>
  </si>
  <si>
    <t>ALMOÇO EM VARIADOS %</t>
  </si>
  <si>
    <t>TARDE %</t>
  </si>
  <si>
    <t>MANHÃ %</t>
  </si>
  <si>
    <t>HORAS LIGADO MOVIMENTO DIA</t>
  </si>
  <si>
    <t>KM CASA-BASE (só ida)</t>
  </si>
  <si>
    <t>KM LIMPO</t>
  </si>
  <si>
    <t>MARCIO DE JESUS CONCEICAO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</si>
</sst>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[$-F400]h:mm:ss\ AM/P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AF2D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8" fillId="8" borderId="0" applyNumberFormat="0" applyBorder="0" applyAlignment="0" applyProtection="0"/>
    <xf numFmtId="0" fontId="9" fillId="9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3" fontId="2" fillId="2" borderId="0" xfId="0" applyNumberFormat="1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3" fontId="2" fillId="4" borderId="0" xfId="0" applyNumberFormat="1" applyFont="1" applyFill="1" applyAlignment="1">
      <alignment horizontal="center"/>
    </xf>
    <xf numFmtId="3" fontId="2" fillId="5" borderId="0" xfId="0" applyNumberFormat="1" applyFont="1" applyFill="1" applyAlignment="1">
      <alignment horizontal="center"/>
    </xf>
    <xf numFmtId="3" fontId="2" fillId="6" borderId="0" xfId="0" applyNumberFormat="1" applyFont="1" applyFill="1" applyAlignment="1">
      <alignment horizontal="center"/>
    </xf>
    <xf numFmtId="3" fontId="2" fillId="7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0" fillId="4" borderId="0" xfId="0" applyNumberFormat="1" applyFill="1" applyAlignment="1">
      <alignment horizontal="center"/>
    </xf>
    <xf numFmtId="2" fontId="11" fillId="8" borderId="0" xfId="2" applyNumberFormat="1" applyFont="1" applyAlignment="1">
      <alignment horizontal="center"/>
    </xf>
    <xf numFmtId="2" fontId="11" fillId="9" borderId="0" xfId="3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quotePrefix="1"/>
    <xf numFmtId="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65" fontId="7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Ruim" xfId="2" builtinId="27"/>
  </cellStyles>
  <dxfs count="20">
    <dxf>
      <numFmt numFmtId="1" formatCode="0"/>
      <alignment horizontal="center" vertical="center" textRotation="0" wrapText="0" indent="0" justifyLastLine="0" shrinkToFit="0" readingOrder="0"/>
    </dxf>
    <dxf>
      <numFmt numFmtId="165" formatCode="[$-F400]h:mm:ss\ AM/PM"/>
      <alignment horizontal="center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33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U35" totalsRowShown="0" headerRowDxfId="19">
  <autoFilter ref="A1:U35" xr:uid="{00000000-0009-0000-0100-000001000000}"/>
  <sortState xmlns:xlrd2="http://schemas.microsoft.com/office/spreadsheetml/2017/richdata2" ref="A2:U35">
    <sortCondition descending="1" ref="R1:R35"/>
  </sortState>
  <tableColumns count="21">
    <tableColumn id="1" xr3:uid="{00000000-0010-0000-0000-000001000000}" name="PLACA" dataDxfId="18"/>
    <tableColumn id="2" xr3:uid="{00000000-0010-0000-0000-000002000000}" name="SITUAÇÃO" dataDxfId="17"/>
    <tableColumn id="3" xr3:uid="{00000000-0010-0000-0000-000003000000}" name="NOME"/>
    <tableColumn id="4" xr3:uid="{00000000-0010-0000-0000-000004000000}" name="KM TOTAL" dataDxfId="16"/>
    <tableColumn id="5" xr3:uid="{00000000-0010-0000-0000-000005000000}" name="KM DNU"/>
    <tableColumn id="6" xr3:uid="{00000000-0010-0000-0000-000006000000}" name="COMBUSTÍVEL" dataDxfId="15" dataCellStyle="Moeda"/>
    <tableColumn id="7" xr3:uid="{00000000-0010-0000-0000-000007000000}" name="ALUGUEL" dataDxfId="14">
      <calculatedColumnFormula>1635.39*10</calculatedColumnFormula>
    </tableColumn>
    <tableColumn id="8" xr3:uid="{00000000-0010-0000-0000-000008000000}" name="CUSTO TOTAL" dataDxfId="13">
      <calculatedColumnFormula>SUM(F2,G2)</calculatedColumnFormula>
    </tableColumn>
    <tableColumn id="9" xr3:uid="{00000000-0010-0000-0000-000009000000}" name="MÉDIA MÊS" dataDxfId="12">
      <calculatedColumnFormula>H2/10</calculatedColumnFormula>
    </tableColumn>
    <tableColumn id="10" xr3:uid="{00000000-0010-0000-0000-00000A000000}" name="DORME ONDE" dataDxfId="11"/>
    <tableColumn id="12" xr3:uid="{00000000-0010-0000-0000-00000C000000}" name="ALMOÇO EM EMPRESA %" dataDxfId="10"/>
    <tableColumn id="19" xr3:uid="{7234D239-CAC0-470E-BA99-FA98D3E64744}" name="ALMOÇO EM CASA %" dataDxfId="9"/>
    <tableColumn id="20" xr3:uid="{AB99D73E-6247-4A14-9419-A25E55636606}" name="ALMOÇO EM VARIADOS %" dataDxfId="8"/>
    <tableColumn id="13" xr3:uid="{00000000-0010-0000-0000-00000D000000}" name="MANHÃ %" dataDxfId="7"/>
    <tableColumn id="14" xr3:uid="{00000000-0010-0000-0000-00000E000000}" name="TARDE %" dataDxfId="6"/>
    <tableColumn id="15" xr3:uid="{7A8E803A-C300-485F-BE79-1CA6311E2B2B}" name="KM PÓS TURNO" dataDxfId="5"/>
    <tableColumn id="16" xr3:uid="{30954178-89E2-4F4C-8F20-20B683FFF390}" name="DIAS PÓS TURNO" dataDxfId="4"/>
    <tableColumn id="17" xr3:uid="{6D2273FC-4F8E-40B8-91BB-028D2711F473}" name="KM POR DIA PÓS TURNO" dataDxfId="3">
      <calculatedColumnFormula>Tabela1[[#This Row],[KM PÓS TURNO]]/Tabela1[[#This Row],[DIAS PÓS TURNO]]</calculatedColumnFormula>
    </tableColumn>
    <tableColumn id="21" xr3:uid="{F989E735-F78D-4953-A16F-1AE25C08B61F}" name="KM CASA-BASE (só ida)" dataDxfId="2"/>
    <tableColumn id="18" xr3:uid="{3C82C233-BE11-4B23-977F-BB804C5B0479}" name="HORAS LIGADO MOVIMENTO DIA" dataDxfId="1"/>
    <tableColumn id="23" xr3:uid="{B3AB1083-0AAC-4597-8857-3528450171C0}" name="KM LIMPO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tabSelected="1" zoomScale="90" zoomScaleNormal="90" workbookViewId="0">
      <selection activeCell="G9" sqref="G9"/>
    </sheetView>
  </sheetViews>
  <sheetFormatPr defaultColWidth="15.7109375" defaultRowHeight="15" x14ac:dyDescent="0.25"/>
  <cols>
    <col min="1" max="1" width="11.140625" style="1" bestFit="1" customWidth="1"/>
    <col min="2" max="2" width="13.5703125" style="1" bestFit="1" customWidth="1"/>
    <col min="3" max="3" width="29.85546875" bestFit="1" customWidth="1"/>
    <col min="4" max="4" width="13.5703125" style="1" bestFit="1" customWidth="1"/>
    <col min="5" max="5" width="12.42578125" style="1" bestFit="1" customWidth="1"/>
    <col min="6" max="6" width="16.7109375" style="5" bestFit="1" customWidth="1"/>
    <col min="7" max="7" width="13" style="6" bestFit="1" customWidth="1"/>
    <col min="8" max="8" width="15.85546875" style="1" bestFit="1" customWidth="1"/>
    <col min="9" max="9" width="14.7109375" style="1" bestFit="1" customWidth="1"/>
    <col min="10" max="10" width="16.140625" style="1" bestFit="1" customWidth="1"/>
    <col min="11" max="13" width="15.5703125" style="1" bestFit="1" customWidth="1"/>
    <col min="14" max="14" width="13.85546875" style="11" bestFit="1" customWidth="1"/>
    <col min="15" max="15" width="12.5703125" style="1" bestFit="1" customWidth="1"/>
    <col min="16" max="16" width="11.85546875" style="11" bestFit="1" customWidth="1"/>
    <col min="17" max="17" width="12.85546875" bestFit="1" customWidth="1"/>
    <col min="18" max="18" width="15" bestFit="1" customWidth="1"/>
    <col min="19" max="19" width="19.7109375" style="1" bestFit="1" customWidth="1"/>
    <col min="20" max="20" width="18.85546875" style="27" bestFit="1" customWidth="1"/>
    <col min="21" max="21" width="14" style="21" bestFit="1" customWidth="1"/>
  </cols>
  <sheetData>
    <row r="1" spans="1:21" s="13" customFormat="1" ht="30" customHeight="1" x14ac:dyDescent="0.25">
      <c r="A1" s="12" t="s">
        <v>0</v>
      </c>
      <c r="B1" s="13" t="s">
        <v>66</v>
      </c>
      <c r="C1" s="12" t="s">
        <v>1</v>
      </c>
      <c r="D1" s="12" t="s">
        <v>62</v>
      </c>
      <c r="E1" s="12" t="s">
        <v>65</v>
      </c>
      <c r="F1" s="14" t="s">
        <v>68</v>
      </c>
      <c r="G1" s="15" t="s">
        <v>69</v>
      </c>
      <c r="H1" s="12" t="s">
        <v>70</v>
      </c>
      <c r="I1" s="12" t="s">
        <v>71</v>
      </c>
      <c r="J1" s="12" t="s">
        <v>74</v>
      </c>
      <c r="K1" s="12" t="s">
        <v>85</v>
      </c>
      <c r="L1" s="12" t="s">
        <v>86</v>
      </c>
      <c r="M1" s="12" t="s">
        <v>87</v>
      </c>
      <c r="N1" s="12" t="s">
        <v>89</v>
      </c>
      <c r="O1" s="12" t="s">
        <v>88</v>
      </c>
      <c r="P1" s="16" t="s">
        <v>82</v>
      </c>
      <c r="Q1" s="12" t="s">
        <v>84</v>
      </c>
      <c r="R1" s="16" t="s">
        <v>83</v>
      </c>
      <c r="S1" s="12" t="s">
        <v>91</v>
      </c>
      <c r="T1" s="25" t="s">
        <v>90</v>
      </c>
      <c r="U1" s="20" t="s">
        <v>92</v>
      </c>
    </row>
    <row r="2" spans="1:21" ht="14.45" customHeight="1" x14ac:dyDescent="0.25">
      <c r="A2" s="1" t="s">
        <v>33</v>
      </c>
      <c r="B2" s="1" t="s">
        <v>67</v>
      </c>
      <c r="C2" t="s">
        <v>34</v>
      </c>
      <c r="D2" s="8">
        <v>11554.98</v>
      </c>
      <c r="E2" s="10">
        <v>736.55</v>
      </c>
      <c r="F2" s="5">
        <v>5203.5</v>
      </c>
      <c r="G2" s="6">
        <f>1635.39*10</f>
        <v>16353.900000000001</v>
      </c>
      <c r="H2" s="6">
        <f>SUM(F2,G2)</f>
        <v>21557.4</v>
      </c>
      <c r="I2" s="6">
        <f>H2/10</f>
        <v>2155.7400000000002</v>
      </c>
      <c r="J2" s="1" t="s">
        <v>72</v>
      </c>
      <c r="K2" s="1">
        <v>30</v>
      </c>
      <c r="L2" s="1">
        <v>70</v>
      </c>
      <c r="M2" s="1">
        <v>0</v>
      </c>
      <c r="N2" s="1">
        <v>45</v>
      </c>
      <c r="O2" s="1">
        <v>55</v>
      </c>
      <c r="P2" s="11">
        <v>126.99</v>
      </c>
      <c r="Q2" s="1">
        <v>4</v>
      </c>
      <c r="R2" s="19">
        <f>Tabela1[[#This Row],[KM PÓS TURNO]]/Tabela1[[#This Row],[DIAS PÓS TURNO]]</f>
        <v>31.747499999999999</v>
      </c>
      <c r="S2" s="1">
        <v>28</v>
      </c>
      <c r="T2" s="26">
        <v>6.643518518518518E-2</v>
      </c>
      <c r="U2" s="21">
        <f>Tabela1[[#This Row],[KM TOTAL]]-(Tabela1[[#This Row],[KM CASA-BASE (só ida)]]*2*22*10)*1.7</f>
        <v>-9389.02</v>
      </c>
    </row>
    <row r="3" spans="1:21" ht="14.45" customHeight="1" x14ac:dyDescent="0.25">
      <c r="A3" s="1" t="s">
        <v>49</v>
      </c>
      <c r="B3" s="1" t="s">
        <v>67</v>
      </c>
      <c r="C3" t="s">
        <v>50</v>
      </c>
      <c r="D3" s="8">
        <v>13335.67</v>
      </c>
      <c r="E3" s="2">
        <v>22.360000000000003</v>
      </c>
      <c r="F3" s="5">
        <v>6001.2</v>
      </c>
      <c r="G3" s="6">
        <f>1635.39*10</f>
        <v>16353.900000000001</v>
      </c>
      <c r="H3" s="6">
        <f>SUM(F3,G3)</f>
        <v>22355.100000000002</v>
      </c>
      <c r="I3" s="6">
        <f>H3/10</f>
        <v>2235.5100000000002</v>
      </c>
      <c r="J3" s="1" t="s">
        <v>72</v>
      </c>
      <c r="K3" s="1">
        <v>60</v>
      </c>
      <c r="L3" s="1">
        <v>20</v>
      </c>
      <c r="M3" s="1">
        <v>20</v>
      </c>
      <c r="N3" s="1">
        <v>35</v>
      </c>
      <c r="O3" s="1">
        <v>65</v>
      </c>
      <c r="P3" s="11">
        <v>128.11000000000001</v>
      </c>
      <c r="Q3" s="1">
        <v>7</v>
      </c>
      <c r="R3" s="19">
        <f>Tabela1[[#This Row],[KM PÓS TURNO]]/Tabela1[[#This Row],[DIAS PÓS TURNO]]</f>
        <v>18.301428571428573</v>
      </c>
      <c r="S3" s="1">
        <v>13</v>
      </c>
      <c r="T3" s="26">
        <v>9.0694444444444439E-2</v>
      </c>
      <c r="U3" s="21">
        <f>Tabela1[[#This Row],[KM TOTAL]]-(Tabela1[[#This Row],[KM CASA-BASE (só ida)]]*2*22*10)*1.2</f>
        <v>6471.67</v>
      </c>
    </row>
    <row r="4" spans="1:21" ht="14.45" customHeight="1" x14ac:dyDescent="0.25">
      <c r="A4" s="1" t="s">
        <v>15</v>
      </c>
      <c r="B4" s="1" t="s">
        <v>63</v>
      </c>
      <c r="C4" t="s">
        <v>16</v>
      </c>
      <c r="D4" s="9">
        <v>8994.57</v>
      </c>
      <c r="E4" s="10">
        <v>562.9</v>
      </c>
      <c r="F4" s="5">
        <v>4047.75</v>
      </c>
      <c r="G4" s="6">
        <f>1635.39*10</f>
        <v>16353.900000000001</v>
      </c>
      <c r="H4" s="6">
        <f>SUM(F4,G4)</f>
        <v>20401.650000000001</v>
      </c>
      <c r="I4" s="6">
        <f>H4/10</f>
        <v>2040.1650000000002</v>
      </c>
      <c r="J4" s="1" t="s">
        <v>72</v>
      </c>
      <c r="K4" s="1">
        <v>50</v>
      </c>
      <c r="L4" s="1">
        <v>0</v>
      </c>
      <c r="M4" s="1">
        <v>50</v>
      </c>
      <c r="N4" s="1">
        <v>35</v>
      </c>
      <c r="O4" s="1">
        <v>65</v>
      </c>
      <c r="P4" s="11">
        <v>86.8</v>
      </c>
      <c r="Q4" s="1">
        <v>5</v>
      </c>
      <c r="R4" s="19">
        <f>Tabela1[[#This Row],[KM PÓS TURNO]]/Tabela1[[#This Row],[DIAS PÓS TURNO]]</f>
        <v>17.36</v>
      </c>
      <c r="S4" s="1">
        <v>12</v>
      </c>
      <c r="T4" s="26">
        <v>6.4548611111111112E-2</v>
      </c>
      <c r="U4" s="21">
        <f>Tabela1[[#This Row],[KM TOTAL]]-((Tabela1[[#This Row],[KM CASA-BASE (só ida)]]*2*22*10)*1)-300</f>
        <v>3414.5699999999997</v>
      </c>
    </row>
    <row r="5" spans="1:21" x14ac:dyDescent="0.25">
      <c r="A5" s="1" t="s">
        <v>61</v>
      </c>
      <c r="B5" s="1" t="s">
        <v>67</v>
      </c>
      <c r="C5" t="s">
        <v>76</v>
      </c>
      <c r="D5" s="8">
        <v>15899.470000000001</v>
      </c>
      <c r="E5" s="10">
        <v>2097.87</v>
      </c>
      <c r="F5" s="5">
        <v>7154.55</v>
      </c>
      <c r="G5" s="6">
        <f>1635.39*10</f>
        <v>16353.900000000001</v>
      </c>
      <c r="H5" s="6">
        <f>SUM(F5,G5)</f>
        <v>23508.45</v>
      </c>
      <c r="I5" s="6">
        <f>H5/10</f>
        <v>2350.8450000000003</v>
      </c>
      <c r="J5" s="1" t="s">
        <v>72</v>
      </c>
      <c r="K5" s="1">
        <v>0</v>
      </c>
      <c r="L5" s="1">
        <v>100</v>
      </c>
      <c r="M5" s="1">
        <v>0</v>
      </c>
      <c r="N5" s="1">
        <v>50</v>
      </c>
      <c r="O5" s="1">
        <v>50</v>
      </c>
      <c r="P5" s="11">
        <v>104.27</v>
      </c>
      <c r="Q5" s="1">
        <v>7</v>
      </c>
      <c r="R5" s="18">
        <f>Tabela1[[#This Row],[KM PÓS TURNO]]/Tabela1[[#This Row],[DIAS PÓS TURNO]]</f>
        <v>14.895714285714286</v>
      </c>
      <c r="S5" s="1">
        <v>6</v>
      </c>
      <c r="T5" s="26">
        <v>9.6909722222222217E-2</v>
      </c>
      <c r="U5" s="21">
        <f>Tabela1[[#This Row],[KM TOTAL]]-(Tabela1[[#This Row],[KM CASA-BASE (só ida)]]*2*22*10)*2</f>
        <v>10619.470000000001</v>
      </c>
    </row>
    <row r="6" spans="1:21" ht="14.45" customHeight="1" x14ac:dyDescent="0.25">
      <c r="A6" s="1" t="s">
        <v>25</v>
      </c>
      <c r="B6" s="1" t="s">
        <v>64</v>
      </c>
      <c r="C6" t="s">
        <v>26</v>
      </c>
      <c r="D6" s="7">
        <v>23277.4</v>
      </c>
      <c r="E6" s="8">
        <v>304.58999999999992</v>
      </c>
      <c r="F6" s="5">
        <v>10474.65</v>
      </c>
      <c r="G6" s="6">
        <f>1635.39*10</f>
        <v>16353.900000000001</v>
      </c>
      <c r="H6" s="6">
        <f>SUM(F6,G6)</f>
        <v>26828.550000000003</v>
      </c>
      <c r="I6" s="6">
        <f>H6/10</f>
        <v>2682.8550000000005</v>
      </c>
      <c r="J6" s="1" t="s">
        <v>72</v>
      </c>
      <c r="K6" s="1">
        <v>50</v>
      </c>
      <c r="L6" s="1">
        <v>50</v>
      </c>
      <c r="M6" s="1">
        <v>0</v>
      </c>
      <c r="N6" s="1">
        <v>35</v>
      </c>
      <c r="O6" s="1">
        <v>65</v>
      </c>
      <c r="P6" s="1">
        <v>13.67</v>
      </c>
      <c r="Q6" s="1">
        <v>1</v>
      </c>
      <c r="R6" s="19">
        <f>Tabela1[[#This Row],[KM PÓS TURNO]]/Tabela1[[#This Row],[DIAS PÓS TURNO]]</f>
        <v>13.67</v>
      </c>
      <c r="S6" s="1">
        <v>10</v>
      </c>
      <c r="T6" s="26">
        <v>5.872685185185185E-2</v>
      </c>
      <c r="U6" s="21">
        <f>Tabela1[[#This Row],[KM TOTAL]]-(Tabela1[[#This Row],[KM CASA-BASE (só ida)]]*2*22*10)*1.5</f>
        <v>16677.400000000001</v>
      </c>
    </row>
    <row r="7" spans="1:21" ht="14.45" customHeight="1" x14ac:dyDescent="0.25">
      <c r="A7" s="1" t="s">
        <v>43</v>
      </c>
      <c r="B7" s="1" t="s">
        <v>67</v>
      </c>
      <c r="C7" t="s">
        <v>44</v>
      </c>
      <c r="D7" s="8">
        <v>10478.070000000002</v>
      </c>
      <c r="E7" s="2">
        <v>34.839999999999996</v>
      </c>
      <c r="F7" s="5">
        <v>4715.1000000000004</v>
      </c>
      <c r="G7" s="6">
        <f>1635.39*10</f>
        <v>16353.900000000001</v>
      </c>
      <c r="H7" s="6">
        <f>SUM(F7,G7)</f>
        <v>21069</v>
      </c>
      <c r="I7" s="6">
        <f>H7/10</f>
        <v>2106.9</v>
      </c>
      <c r="J7" s="1" t="s">
        <v>72</v>
      </c>
      <c r="K7" s="1">
        <v>50</v>
      </c>
      <c r="L7" s="1">
        <v>0</v>
      </c>
      <c r="M7" s="1">
        <v>50</v>
      </c>
      <c r="N7" s="1">
        <v>45</v>
      </c>
      <c r="O7" s="1">
        <v>55</v>
      </c>
      <c r="P7" s="11">
        <v>81.48</v>
      </c>
      <c r="Q7" s="1">
        <v>6</v>
      </c>
      <c r="R7" s="19">
        <f>Tabela1[[#This Row],[KM PÓS TURNO]]/Tabela1[[#This Row],[DIAS PÓS TURNO]]</f>
        <v>13.58</v>
      </c>
      <c r="S7" s="1">
        <v>12</v>
      </c>
      <c r="T7" s="26">
        <v>0.10208333333333333</v>
      </c>
      <c r="U7" s="21">
        <f>Tabela1[[#This Row],[KM TOTAL]]-((Tabela1[[#This Row],[KM CASA-BASE (só ida)]]*2*22*10)*1)-300</f>
        <v>4898.0700000000015</v>
      </c>
    </row>
    <row r="8" spans="1:21" ht="14.45" customHeight="1" x14ac:dyDescent="0.25">
      <c r="A8" s="1" t="s">
        <v>51</v>
      </c>
      <c r="B8" s="1" t="s">
        <v>67</v>
      </c>
      <c r="C8" t="s">
        <v>52</v>
      </c>
      <c r="D8" s="8">
        <v>13322.75</v>
      </c>
      <c r="E8" s="2">
        <v>0.52</v>
      </c>
      <c r="F8" s="5">
        <v>5995.35</v>
      </c>
      <c r="G8" s="6">
        <f>1635.39*10</f>
        <v>16353.900000000001</v>
      </c>
      <c r="H8" s="6">
        <f>SUM(F8,G8)</f>
        <v>22349.25</v>
      </c>
      <c r="I8" s="6">
        <f>H8/10</f>
        <v>2234.9250000000002</v>
      </c>
      <c r="J8" s="1" t="s">
        <v>72</v>
      </c>
      <c r="K8" s="1">
        <v>70</v>
      </c>
      <c r="L8" s="1">
        <v>30</v>
      </c>
      <c r="M8" s="1">
        <v>0</v>
      </c>
      <c r="N8" s="1">
        <v>35</v>
      </c>
      <c r="O8" s="1">
        <v>65</v>
      </c>
      <c r="P8" s="11">
        <v>119.74</v>
      </c>
      <c r="Q8" s="1">
        <v>9</v>
      </c>
      <c r="R8" s="17">
        <f>Tabela1[[#This Row],[KM PÓS TURNO]]/Tabela1[[#This Row],[DIAS PÓS TURNO]]</f>
        <v>13.304444444444444</v>
      </c>
      <c r="S8" s="1">
        <v>39</v>
      </c>
      <c r="T8" s="26">
        <v>0.10975694444444445</v>
      </c>
      <c r="U8" s="21">
        <f>Tabela1[[#This Row],[KM TOTAL]]-(Tabela1[[#This Row],[KM CASA-BASE (só ida)]]*2*22*10)*1.3</f>
        <v>-8985.25</v>
      </c>
    </row>
    <row r="9" spans="1:21" ht="14.45" customHeight="1" x14ac:dyDescent="0.25">
      <c r="A9" s="1" t="s">
        <v>37</v>
      </c>
      <c r="B9" s="1" t="s">
        <v>67</v>
      </c>
      <c r="C9" t="s">
        <v>93</v>
      </c>
      <c r="D9" s="8">
        <v>11590.220000000001</v>
      </c>
      <c r="E9" s="10">
        <v>709.06999999999994</v>
      </c>
      <c r="F9" s="5">
        <v>5219.7</v>
      </c>
      <c r="G9" s="6">
        <f>1635.39*10</f>
        <v>16353.900000000001</v>
      </c>
      <c r="H9" s="6">
        <f>SUM(F9,G9)</f>
        <v>21573.600000000002</v>
      </c>
      <c r="I9" s="6">
        <f>H9/10</f>
        <v>2157.36</v>
      </c>
      <c r="J9" s="1" t="s">
        <v>72</v>
      </c>
      <c r="K9" s="1">
        <v>30</v>
      </c>
      <c r="L9" s="1">
        <v>70</v>
      </c>
      <c r="M9" s="1">
        <v>0</v>
      </c>
      <c r="N9" s="1">
        <v>45</v>
      </c>
      <c r="O9" s="1">
        <v>55</v>
      </c>
      <c r="P9" s="11">
        <v>13.05</v>
      </c>
      <c r="Q9" s="1">
        <v>1</v>
      </c>
      <c r="R9" s="17">
        <f>Tabela1[[#This Row],[KM PÓS TURNO]]/Tabela1[[#This Row],[DIAS PÓS TURNO]]</f>
        <v>13.05</v>
      </c>
      <c r="S9" s="1">
        <v>15</v>
      </c>
      <c r="T9" s="26">
        <v>5.2430555555555557E-2</v>
      </c>
      <c r="U9" s="21">
        <f>Tabela1[[#This Row],[KM TOTAL]]-(Tabela1[[#This Row],[KM CASA-BASE (só ida)]]*2*22*10)*1.7</f>
        <v>370.22000000000116</v>
      </c>
    </row>
    <row r="10" spans="1:21" ht="14.45" customHeight="1" x14ac:dyDescent="0.25">
      <c r="A10" s="1" t="s">
        <v>35</v>
      </c>
      <c r="B10" s="1" t="s">
        <v>67</v>
      </c>
      <c r="C10" t="s">
        <v>36</v>
      </c>
      <c r="D10" s="8">
        <v>10032.620000000003</v>
      </c>
      <c r="E10" s="8">
        <v>239.83</v>
      </c>
      <c r="F10" s="5">
        <v>4514.8500000000004</v>
      </c>
      <c r="G10" s="6">
        <f>1635.39*10</f>
        <v>16353.900000000001</v>
      </c>
      <c r="H10" s="6">
        <f>SUM(F10,G10)</f>
        <v>20868.75</v>
      </c>
      <c r="I10" s="6">
        <f>H10/10</f>
        <v>2086.875</v>
      </c>
      <c r="J10" s="1" t="s">
        <v>72</v>
      </c>
      <c r="K10" s="1">
        <v>80</v>
      </c>
      <c r="L10" s="1">
        <v>0</v>
      </c>
      <c r="M10" s="1">
        <v>20</v>
      </c>
      <c r="N10" s="1">
        <v>45</v>
      </c>
      <c r="O10" s="1">
        <v>55</v>
      </c>
      <c r="P10" s="11">
        <v>101.15</v>
      </c>
      <c r="Q10" s="1">
        <v>8</v>
      </c>
      <c r="R10" s="17">
        <f>Tabela1[[#This Row],[KM PÓS TURNO]]/Tabela1[[#This Row],[DIAS PÓS TURNO]]</f>
        <v>12.643750000000001</v>
      </c>
      <c r="S10" s="1">
        <v>16</v>
      </c>
      <c r="T10" s="26">
        <v>5.6250000000000001E-2</v>
      </c>
      <c r="U10" s="21">
        <f>Tabela1[[#This Row],[KM TOTAL]]-((Tabela1[[#This Row],[KM CASA-BASE (só ida)]]*2*22*10)*1)-120</f>
        <v>2872.6200000000026</v>
      </c>
    </row>
    <row r="11" spans="1:21" ht="14.45" customHeight="1" x14ac:dyDescent="0.25">
      <c r="A11" s="1" t="s">
        <v>38</v>
      </c>
      <c r="B11" s="1" t="s">
        <v>67</v>
      </c>
      <c r="C11" t="s">
        <v>39</v>
      </c>
      <c r="D11" s="8">
        <v>17493.21</v>
      </c>
      <c r="E11" s="10">
        <v>2297.91</v>
      </c>
      <c r="F11" s="5">
        <v>7875.15</v>
      </c>
      <c r="G11" s="6">
        <f>1635.39*10</f>
        <v>16353.900000000001</v>
      </c>
      <c r="H11" s="6">
        <f>SUM(F11,G11)</f>
        <v>24229.050000000003</v>
      </c>
      <c r="I11" s="6">
        <f>H11/10</f>
        <v>2422.9050000000002</v>
      </c>
      <c r="J11" s="1" t="s">
        <v>72</v>
      </c>
      <c r="K11" s="1">
        <v>50</v>
      </c>
      <c r="L11" s="1">
        <v>0</v>
      </c>
      <c r="M11" s="1">
        <v>50</v>
      </c>
      <c r="N11" s="1">
        <v>35</v>
      </c>
      <c r="O11" s="1">
        <v>65</v>
      </c>
      <c r="P11" s="11">
        <v>81.290000000000006</v>
      </c>
      <c r="Q11" s="1">
        <v>7</v>
      </c>
      <c r="R11" s="17">
        <f>Tabela1[[#This Row],[KM PÓS TURNO]]/Tabela1[[#This Row],[DIAS PÓS TURNO]]</f>
        <v>11.612857142857143</v>
      </c>
      <c r="S11" s="1">
        <v>22</v>
      </c>
      <c r="T11" s="26">
        <v>9.5451388888888891E-2</v>
      </c>
      <c r="U11" s="21">
        <f>Tabela1[[#This Row],[KM TOTAL]]-((Tabela1[[#This Row],[KM CASA-BASE (só ida)]]*2*22*10)*1)-300</f>
        <v>7513.2099999999991</v>
      </c>
    </row>
    <row r="12" spans="1:21" x14ac:dyDescent="0.25">
      <c r="A12" s="1" t="s">
        <v>6</v>
      </c>
      <c r="B12" s="1" t="s">
        <v>63</v>
      </c>
      <c r="C12" t="s">
        <v>7</v>
      </c>
      <c r="D12" s="9">
        <v>9140.0800000000017</v>
      </c>
      <c r="E12" s="10">
        <v>541.8499999999998</v>
      </c>
      <c r="F12" s="5">
        <v>4113</v>
      </c>
      <c r="G12" s="6">
        <f>1635.39*10</f>
        <v>16353.900000000001</v>
      </c>
      <c r="H12" s="6">
        <f>SUM(F12,G12)</f>
        <v>20466.900000000001</v>
      </c>
      <c r="I12" s="6">
        <f>H12/10</f>
        <v>2046.69</v>
      </c>
      <c r="J12" s="1" t="s">
        <v>72</v>
      </c>
      <c r="K12" s="1">
        <v>0</v>
      </c>
      <c r="L12" s="1">
        <v>100</v>
      </c>
      <c r="M12" s="1">
        <v>0</v>
      </c>
      <c r="N12" s="1">
        <v>35</v>
      </c>
      <c r="O12" s="1">
        <v>65</v>
      </c>
      <c r="P12" s="11">
        <v>68.02</v>
      </c>
      <c r="Q12" s="1">
        <v>6</v>
      </c>
      <c r="R12" s="17">
        <f>Tabela1[[#This Row],[KM PÓS TURNO]]/Tabela1[[#This Row],[DIAS PÓS TURNO]]</f>
        <v>11.336666666666666</v>
      </c>
      <c r="S12" s="1">
        <v>31</v>
      </c>
      <c r="T12" s="26">
        <v>5.4618055555555559E-2</v>
      </c>
      <c r="U12" s="21">
        <f>Tabela1[[#This Row],[KM TOTAL]]-(Tabela1[[#This Row],[KM CASA-BASE (só ida)]]*2*22*10)*2</f>
        <v>-18139.919999999998</v>
      </c>
    </row>
    <row r="13" spans="1:21" ht="14.45" customHeight="1" x14ac:dyDescent="0.25">
      <c r="A13" s="1" t="s">
        <v>47</v>
      </c>
      <c r="B13" s="1" t="s">
        <v>67</v>
      </c>
      <c r="C13" t="s">
        <v>48</v>
      </c>
      <c r="D13" s="8">
        <v>15017.02</v>
      </c>
      <c r="E13" s="8">
        <v>402.14000000000004</v>
      </c>
      <c r="F13" s="5">
        <v>6757.65</v>
      </c>
      <c r="G13" s="6">
        <f>1635.39*10</f>
        <v>16353.900000000001</v>
      </c>
      <c r="H13" s="6">
        <f>SUM(F13,G13)</f>
        <v>23111.550000000003</v>
      </c>
      <c r="I13" s="6">
        <f>H13/10</f>
        <v>2311.1550000000002</v>
      </c>
      <c r="J13" s="1" t="s">
        <v>72</v>
      </c>
      <c r="K13" s="1">
        <v>40</v>
      </c>
      <c r="L13" s="1">
        <v>60</v>
      </c>
      <c r="M13" s="1">
        <v>0</v>
      </c>
      <c r="N13" s="1">
        <v>40</v>
      </c>
      <c r="O13" s="1">
        <v>60</v>
      </c>
      <c r="P13" s="11">
        <v>21.78</v>
      </c>
      <c r="Q13" s="1">
        <v>2</v>
      </c>
      <c r="R13" s="17">
        <f>Tabela1[[#This Row],[KM PÓS TURNO]]/Tabela1[[#This Row],[DIAS PÓS TURNO]]</f>
        <v>10.89</v>
      </c>
      <c r="S13" s="1">
        <v>18</v>
      </c>
      <c r="T13" s="26">
        <v>8.5625000000000007E-2</v>
      </c>
      <c r="U13" s="21">
        <f>Tabela1[[#This Row],[KM TOTAL]]-(Tabela1[[#This Row],[KM CASA-BASE (só ida)]]*2*22*10)*1.6</f>
        <v>2345.0200000000004</v>
      </c>
    </row>
    <row r="14" spans="1:21" x14ac:dyDescent="0.25">
      <c r="A14" s="1" t="s">
        <v>45</v>
      </c>
      <c r="B14" s="1" t="s">
        <v>67</v>
      </c>
      <c r="C14" t="s">
        <v>46</v>
      </c>
      <c r="D14" s="8">
        <v>14384.84</v>
      </c>
      <c r="E14" s="2">
        <v>16.970000000000002</v>
      </c>
      <c r="F14" s="5">
        <v>6473.25</v>
      </c>
      <c r="G14" s="6">
        <f>1635.39*10</f>
        <v>16353.900000000001</v>
      </c>
      <c r="H14" s="6">
        <f>SUM(F14,G14)</f>
        <v>22827.15</v>
      </c>
      <c r="I14" s="6">
        <f>H14/10</f>
        <v>2282.7150000000001</v>
      </c>
      <c r="J14" s="1" t="s">
        <v>72</v>
      </c>
      <c r="K14" s="1">
        <v>40</v>
      </c>
      <c r="L14" s="1">
        <v>0</v>
      </c>
      <c r="M14" s="1">
        <v>60</v>
      </c>
      <c r="N14" s="1">
        <v>30</v>
      </c>
      <c r="O14" s="1">
        <v>70</v>
      </c>
      <c r="P14" s="11">
        <v>66.510000000000005</v>
      </c>
      <c r="Q14" s="1">
        <v>8</v>
      </c>
      <c r="R14" s="17">
        <f>Tabela1[[#This Row],[KM PÓS TURNO]]/Tabela1[[#This Row],[DIAS PÓS TURNO]]</f>
        <v>8.3137500000000006</v>
      </c>
      <c r="S14" s="1">
        <v>16</v>
      </c>
      <c r="T14" s="26">
        <v>0.10475694444444444</v>
      </c>
      <c r="U14" s="21">
        <f>Tabela1[[#This Row],[KM TOTAL]]-((Tabela1[[#This Row],[KM CASA-BASE (só ida)]]*2*22*10)*1)-360</f>
        <v>6984.84</v>
      </c>
    </row>
    <row r="15" spans="1:21" ht="14.45" customHeight="1" x14ac:dyDescent="0.25">
      <c r="A15" s="1" t="s">
        <v>41</v>
      </c>
      <c r="B15" s="1" t="s">
        <v>67</v>
      </c>
      <c r="C15" t="s">
        <v>42</v>
      </c>
      <c r="D15" s="8">
        <v>11617.000000000002</v>
      </c>
      <c r="E15" s="8">
        <v>479.30000000000007</v>
      </c>
      <c r="F15" s="5">
        <v>5227.6499999999996</v>
      </c>
      <c r="G15" s="6">
        <f>1635.39*10</f>
        <v>16353.900000000001</v>
      </c>
      <c r="H15" s="6">
        <f>SUM(F15,G15)</f>
        <v>21581.550000000003</v>
      </c>
      <c r="I15" s="6">
        <f>H15/10</f>
        <v>2158.1550000000002</v>
      </c>
      <c r="J15" s="1" t="s">
        <v>72</v>
      </c>
      <c r="K15" s="1">
        <v>50</v>
      </c>
      <c r="L15" s="1">
        <v>0</v>
      </c>
      <c r="M15" s="1">
        <v>50</v>
      </c>
      <c r="N15" s="1">
        <v>40</v>
      </c>
      <c r="O15" s="1">
        <v>60</v>
      </c>
      <c r="P15" s="11">
        <v>46.99</v>
      </c>
      <c r="Q15" s="1">
        <v>6</v>
      </c>
      <c r="R15" s="17">
        <f>Tabela1[[#This Row],[KM PÓS TURNO]]/Tabela1[[#This Row],[DIAS PÓS TURNO]]</f>
        <v>7.831666666666667</v>
      </c>
      <c r="S15" s="1">
        <v>17</v>
      </c>
      <c r="T15" s="26">
        <v>6.2685185185185191E-2</v>
      </c>
      <c r="U15" s="21">
        <f>Tabela1[[#This Row],[KM TOTAL]]-((Tabela1[[#This Row],[KM CASA-BASE (só ida)]]*2*22*10)*1)-300</f>
        <v>3837.0000000000018</v>
      </c>
    </row>
    <row r="16" spans="1:21" ht="14.45" customHeight="1" x14ac:dyDescent="0.25">
      <c r="A16" s="1" t="s">
        <v>23</v>
      </c>
      <c r="B16" s="1" t="s">
        <v>63</v>
      </c>
      <c r="C16" t="s">
        <v>24</v>
      </c>
      <c r="D16" s="9">
        <v>9634.630000000001</v>
      </c>
      <c r="E16" s="3">
        <v>87.04</v>
      </c>
      <c r="F16" s="5">
        <v>4335.75</v>
      </c>
      <c r="G16" s="6">
        <f>1635.39*10</f>
        <v>16353.900000000001</v>
      </c>
      <c r="H16" s="6">
        <f>SUM(F16,G16)</f>
        <v>20689.650000000001</v>
      </c>
      <c r="I16" s="6">
        <f>H16/10</f>
        <v>2068.9650000000001</v>
      </c>
      <c r="J16" s="1" t="s">
        <v>72</v>
      </c>
      <c r="K16" s="1">
        <v>50</v>
      </c>
      <c r="L16" s="1">
        <v>0</v>
      </c>
      <c r="M16" s="1">
        <v>50</v>
      </c>
      <c r="N16" s="1">
        <v>45</v>
      </c>
      <c r="O16" s="1">
        <v>55</v>
      </c>
      <c r="P16" s="11">
        <v>23.36</v>
      </c>
      <c r="Q16" s="1">
        <v>4</v>
      </c>
      <c r="R16" s="17">
        <f>Tabela1[[#This Row],[KM PÓS TURNO]]/Tabela1[[#This Row],[DIAS PÓS TURNO]]</f>
        <v>5.84</v>
      </c>
      <c r="S16" s="1">
        <v>10</v>
      </c>
      <c r="T16" s="26">
        <v>8.8148148148148142E-2</v>
      </c>
      <c r="U16" s="21">
        <f>Tabela1[[#This Row],[KM TOTAL]]-((Tabela1[[#This Row],[KM CASA-BASE (só ida)]]*2*22*10)*1)-300</f>
        <v>4934.630000000001</v>
      </c>
    </row>
    <row r="17" spans="1:21" ht="14.45" customHeight="1" x14ac:dyDescent="0.25">
      <c r="A17" s="1" t="s">
        <v>55</v>
      </c>
      <c r="B17" s="1" t="s">
        <v>67</v>
      </c>
      <c r="C17" t="s">
        <v>81</v>
      </c>
      <c r="D17" s="8">
        <v>14822.86</v>
      </c>
      <c r="E17" s="8">
        <v>398.02000000000004</v>
      </c>
      <c r="F17" s="5">
        <v>6670.35</v>
      </c>
      <c r="G17" s="6">
        <f>1635.39*10</f>
        <v>16353.900000000001</v>
      </c>
      <c r="H17" s="6">
        <f>SUM(F17,G17)</f>
        <v>23024.25</v>
      </c>
      <c r="I17" s="6">
        <f>H17/10</f>
        <v>2302.4250000000002</v>
      </c>
      <c r="J17" s="1" t="s">
        <v>72</v>
      </c>
      <c r="K17" s="1">
        <v>0</v>
      </c>
      <c r="L17" s="1">
        <v>100</v>
      </c>
      <c r="M17" s="1">
        <v>0</v>
      </c>
      <c r="N17" s="1">
        <v>50</v>
      </c>
      <c r="O17" s="1">
        <v>50</v>
      </c>
      <c r="P17" s="11">
        <v>5.48</v>
      </c>
      <c r="Q17" s="1">
        <v>1</v>
      </c>
      <c r="R17" s="17">
        <f>Tabela1[[#This Row],[KM PÓS TURNO]]/Tabela1[[#This Row],[DIAS PÓS TURNO]]</f>
        <v>5.48</v>
      </c>
      <c r="S17" s="1">
        <v>45</v>
      </c>
      <c r="T17" s="26">
        <v>5.9583333333333335E-2</v>
      </c>
      <c r="U17" s="21">
        <f>Tabela1[[#This Row],[KM TOTAL]]-(Tabela1[[#This Row],[KM CASA-BASE (só ida)]]*2*22*10)*2</f>
        <v>-24777.14</v>
      </c>
    </row>
    <row r="18" spans="1:21" ht="14.45" customHeight="1" x14ac:dyDescent="0.25">
      <c r="A18" s="1" t="s">
        <v>59</v>
      </c>
      <c r="B18" s="1" t="s">
        <v>67</v>
      </c>
      <c r="C18" t="s">
        <v>80</v>
      </c>
      <c r="D18" s="8">
        <v>18248.98</v>
      </c>
      <c r="E18" s="10">
        <v>783.43000000000006</v>
      </c>
      <c r="F18" s="5">
        <v>8212.0499999999993</v>
      </c>
      <c r="G18" s="6">
        <f>1635.39*10</f>
        <v>16353.900000000001</v>
      </c>
      <c r="H18" s="6">
        <f>SUM(F18,G18)</f>
        <v>24565.95</v>
      </c>
      <c r="I18" s="6">
        <f>H18/10</f>
        <v>2456.5950000000003</v>
      </c>
      <c r="J18" s="1" t="s">
        <v>72</v>
      </c>
      <c r="K18" s="1">
        <v>50</v>
      </c>
      <c r="L18" s="1">
        <v>50</v>
      </c>
      <c r="M18" s="1">
        <v>0</v>
      </c>
      <c r="N18" s="1">
        <v>35</v>
      </c>
      <c r="O18" s="1">
        <v>65</v>
      </c>
      <c r="P18" s="11">
        <v>35.99</v>
      </c>
      <c r="Q18" s="1">
        <v>7</v>
      </c>
      <c r="R18" s="19">
        <f>Tabela1[[#This Row],[KM PÓS TURNO]]/Tabela1[[#This Row],[DIAS PÓS TURNO]]</f>
        <v>5.1414285714285715</v>
      </c>
      <c r="S18" s="1">
        <v>4</v>
      </c>
      <c r="T18" s="26">
        <v>6.6770833333333335E-2</v>
      </c>
      <c r="U18" s="21">
        <f>Tabela1[[#This Row],[KM TOTAL]]-(Tabela1[[#This Row],[KM CASA-BASE (só ida)]]*2*22*10)*1.5</f>
        <v>15608.98</v>
      </c>
    </row>
    <row r="19" spans="1:21" ht="14.45" customHeight="1" x14ac:dyDescent="0.25">
      <c r="A19" s="1" t="s">
        <v>56</v>
      </c>
      <c r="B19" s="1" t="s">
        <v>67</v>
      </c>
      <c r="C19" t="s">
        <v>79</v>
      </c>
      <c r="D19" s="8">
        <v>14153.809999999998</v>
      </c>
      <c r="E19" s="3">
        <v>135.09</v>
      </c>
      <c r="F19" s="5">
        <v>6369.3</v>
      </c>
      <c r="G19" s="6">
        <f>1635.39*10</f>
        <v>16353.900000000001</v>
      </c>
      <c r="H19" s="6">
        <f>SUM(F19,G19)</f>
        <v>22723.200000000001</v>
      </c>
      <c r="I19" s="6">
        <f>H19/10</f>
        <v>2272.3200000000002</v>
      </c>
      <c r="J19" s="1" t="s">
        <v>72</v>
      </c>
      <c r="K19" s="1">
        <v>50</v>
      </c>
      <c r="L19" s="1">
        <v>50</v>
      </c>
      <c r="M19" s="1">
        <v>0</v>
      </c>
      <c r="N19" s="1">
        <v>45</v>
      </c>
      <c r="O19" s="1">
        <v>55</v>
      </c>
      <c r="P19" s="11">
        <v>34.5</v>
      </c>
      <c r="Q19" s="1">
        <v>7</v>
      </c>
      <c r="R19" s="17">
        <f>Tabela1[[#This Row],[KM PÓS TURNO]]/Tabela1[[#This Row],[DIAS PÓS TURNO]]</f>
        <v>4.9285714285714288</v>
      </c>
      <c r="S19" s="1">
        <v>18</v>
      </c>
      <c r="T19" s="26">
        <v>0.10358796296296297</v>
      </c>
      <c r="U19" s="21">
        <f>Tabela1[[#This Row],[KM TOTAL]]-(Tabela1[[#This Row],[KM CASA-BASE (só ida)]]*2*22*10)*1.5</f>
        <v>2273.8099999999977</v>
      </c>
    </row>
    <row r="20" spans="1:21" ht="14.45" customHeight="1" x14ac:dyDescent="0.25">
      <c r="A20" s="1" t="s">
        <v>11</v>
      </c>
      <c r="B20" s="1" t="s">
        <v>63</v>
      </c>
      <c r="C20" t="s">
        <v>12</v>
      </c>
      <c r="D20" s="9">
        <v>7809.4100000000017</v>
      </c>
      <c r="E20" s="2">
        <v>0.63000000000000012</v>
      </c>
      <c r="F20" s="5">
        <v>3514.05</v>
      </c>
      <c r="G20" s="6">
        <f>1635.39*10</f>
        <v>16353.900000000001</v>
      </c>
      <c r="H20" s="6">
        <f>SUM(F20,G20)</f>
        <v>19867.95</v>
      </c>
      <c r="I20" s="6">
        <f>H20/10</f>
        <v>1986.7950000000001</v>
      </c>
      <c r="J20" s="1" t="s">
        <v>72</v>
      </c>
      <c r="K20" s="1">
        <v>50</v>
      </c>
      <c r="L20" s="1">
        <v>50</v>
      </c>
      <c r="M20" s="1">
        <v>0</v>
      </c>
      <c r="N20" s="1">
        <v>35</v>
      </c>
      <c r="O20" s="1">
        <v>65</v>
      </c>
      <c r="P20" s="11">
        <v>27.56</v>
      </c>
      <c r="Q20" s="1">
        <v>6</v>
      </c>
      <c r="R20" s="17">
        <f>Tabela1[[#This Row],[KM PÓS TURNO]]/Tabela1[[#This Row],[DIAS PÓS TURNO]]</f>
        <v>4.5933333333333328</v>
      </c>
      <c r="S20" s="1">
        <v>19</v>
      </c>
      <c r="T20" s="26">
        <v>5.5034722222222221E-2</v>
      </c>
      <c r="U20" s="21">
        <f>Tabela1[[#This Row],[KM TOTAL]]-(Tabela1[[#This Row],[KM CASA-BASE (só ida)]]*2*22*10)*1.5</f>
        <v>-4730.5899999999983</v>
      </c>
    </row>
    <row r="21" spans="1:21" ht="14.45" customHeight="1" x14ac:dyDescent="0.25">
      <c r="A21" s="1" t="s">
        <v>19</v>
      </c>
      <c r="B21" s="1" t="s">
        <v>63</v>
      </c>
      <c r="C21" t="s">
        <v>20</v>
      </c>
      <c r="D21" s="9">
        <v>7748.130000000001</v>
      </c>
      <c r="E21" s="2">
        <v>44.29</v>
      </c>
      <c r="F21" s="5">
        <v>3486.6</v>
      </c>
      <c r="G21" s="6">
        <f>1635.39*10</f>
        <v>16353.900000000001</v>
      </c>
      <c r="H21" s="6">
        <f>SUM(F21,G21)</f>
        <v>19840.5</v>
      </c>
      <c r="I21" s="6">
        <f>H21/10</f>
        <v>1984.05</v>
      </c>
      <c r="J21" s="1" t="s">
        <v>72</v>
      </c>
      <c r="K21" s="1">
        <v>60</v>
      </c>
      <c r="L21" s="1">
        <v>40</v>
      </c>
      <c r="M21" s="1">
        <v>0</v>
      </c>
      <c r="N21" s="1">
        <v>25</v>
      </c>
      <c r="O21" s="1">
        <v>75</v>
      </c>
      <c r="P21" s="11">
        <v>8.8000000000000007</v>
      </c>
      <c r="Q21" s="1">
        <v>2</v>
      </c>
      <c r="R21" s="17">
        <f>Tabela1[[#This Row],[KM PÓS TURNO]]/Tabela1[[#This Row],[DIAS PÓS TURNO]]</f>
        <v>4.4000000000000004</v>
      </c>
      <c r="S21" s="1">
        <v>10</v>
      </c>
      <c r="T21" s="26">
        <v>5.4722222222222221E-2</v>
      </c>
      <c r="U21" s="21">
        <f>Tabela1[[#This Row],[KM TOTAL]]-(Tabela1[[#This Row],[KM CASA-BASE (só ida)]]*2*22*10)*1.4</f>
        <v>1588.130000000001</v>
      </c>
    </row>
    <row r="22" spans="1:21" ht="14.45" customHeight="1" x14ac:dyDescent="0.25">
      <c r="A22" s="1" t="s">
        <v>8</v>
      </c>
      <c r="B22" s="1" t="s">
        <v>63</v>
      </c>
      <c r="C22" t="s">
        <v>9</v>
      </c>
      <c r="D22" s="9">
        <v>9505.07</v>
      </c>
      <c r="E22" s="3">
        <v>82.989999999999981</v>
      </c>
      <c r="F22" s="5">
        <v>4277.25</v>
      </c>
      <c r="G22" s="6">
        <f>1635.39*10</f>
        <v>16353.900000000001</v>
      </c>
      <c r="H22" s="6">
        <f>SUM(F22,G22)</f>
        <v>20631.150000000001</v>
      </c>
      <c r="I22" s="6">
        <f>H22/10</f>
        <v>2063.1150000000002</v>
      </c>
      <c r="J22" s="1" t="s">
        <v>72</v>
      </c>
      <c r="K22" s="1">
        <v>60</v>
      </c>
      <c r="L22" s="1">
        <v>40</v>
      </c>
      <c r="M22" s="1">
        <v>0</v>
      </c>
      <c r="N22" s="1">
        <v>40</v>
      </c>
      <c r="O22" s="1">
        <v>60</v>
      </c>
      <c r="P22" s="11">
        <v>26.63</v>
      </c>
      <c r="Q22" s="1">
        <v>7</v>
      </c>
      <c r="R22" s="17">
        <f>Tabela1[[#This Row],[KM PÓS TURNO]]/Tabela1[[#This Row],[DIAS PÓS TURNO]]</f>
        <v>3.8042857142857143</v>
      </c>
      <c r="S22" s="1">
        <v>5</v>
      </c>
      <c r="T22" s="26">
        <v>5.9791666666666667E-2</v>
      </c>
      <c r="U22" s="21">
        <f>Tabela1[[#This Row],[KM TOTAL]]-(Tabela1[[#This Row],[KM CASA-BASE (só ida)]]*2*22*10)*1.4</f>
        <v>6425.07</v>
      </c>
    </row>
    <row r="23" spans="1:21" ht="14.45" customHeight="1" x14ac:dyDescent="0.25">
      <c r="A23" s="1" t="s">
        <v>4</v>
      </c>
      <c r="B23" s="1" t="s">
        <v>63</v>
      </c>
      <c r="C23" t="s">
        <v>5</v>
      </c>
      <c r="D23" s="9">
        <v>8901.7800000000007</v>
      </c>
      <c r="E23" s="8">
        <v>356.66</v>
      </c>
      <c r="F23" s="5">
        <v>4005.9</v>
      </c>
      <c r="G23" s="6">
        <f>1635.39*10</f>
        <v>16353.900000000001</v>
      </c>
      <c r="H23" s="6">
        <f>SUM(F23,G23)</f>
        <v>20359.800000000003</v>
      </c>
      <c r="I23" s="6">
        <f>H23/10</f>
        <v>2035.9800000000002</v>
      </c>
      <c r="J23" s="1" t="s">
        <v>72</v>
      </c>
      <c r="K23" s="1">
        <v>50</v>
      </c>
      <c r="L23" s="1">
        <v>50</v>
      </c>
      <c r="M23" s="1">
        <v>0</v>
      </c>
      <c r="N23" s="1">
        <v>40</v>
      </c>
      <c r="O23" s="1">
        <v>60</v>
      </c>
      <c r="P23" s="11">
        <v>14.94</v>
      </c>
      <c r="Q23" s="1">
        <v>4</v>
      </c>
      <c r="R23" s="17">
        <f>Tabela1[[#This Row],[KM PÓS TURNO]]/Tabela1[[#This Row],[DIAS PÓS TURNO]]</f>
        <v>3.7349999999999999</v>
      </c>
      <c r="S23" s="1">
        <v>13</v>
      </c>
      <c r="T23" s="26">
        <v>4.988425925925926E-2</v>
      </c>
      <c r="U23" s="21">
        <f>Tabela1[[#This Row],[KM TOTAL]]-(Tabela1[[#This Row],[KM CASA-BASE (só ida)]]*2*22*10)*1.5</f>
        <v>321.78000000000065</v>
      </c>
    </row>
    <row r="24" spans="1:21" ht="14.45" customHeight="1" x14ac:dyDescent="0.25">
      <c r="A24" s="1" t="s">
        <v>17</v>
      </c>
      <c r="B24" s="1" t="s">
        <v>63</v>
      </c>
      <c r="C24" t="s">
        <v>18</v>
      </c>
      <c r="D24" s="9">
        <v>8394.2899999999991</v>
      </c>
      <c r="E24" s="2">
        <v>28.28</v>
      </c>
      <c r="F24" s="5">
        <v>3777.3</v>
      </c>
      <c r="G24" s="6">
        <f>1635.39*10</f>
        <v>16353.900000000001</v>
      </c>
      <c r="H24" s="6">
        <f>SUM(F24,G24)</f>
        <v>20131.2</v>
      </c>
      <c r="I24" s="6">
        <f>H24/10</f>
        <v>2013.1200000000001</v>
      </c>
      <c r="J24" s="1" t="s">
        <v>72</v>
      </c>
      <c r="K24" s="1">
        <v>60</v>
      </c>
      <c r="L24" s="1">
        <v>0</v>
      </c>
      <c r="M24" s="1">
        <v>40</v>
      </c>
      <c r="N24" s="1">
        <v>45</v>
      </c>
      <c r="O24" s="1">
        <v>55</v>
      </c>
      <c r="P24" s="11">
        <v>20.48</v>
      </c>
      <c r="Q24" s="1">
        <v>6</v>
      </c>
      <c r="R24" s="17">
        <f>Tabela1[[#This Row],[KM PÓS TURNO]]/Tabela1[[#This Row],[DIAS PÓS TURNO]]</f>
        <v>3.4133333333333336</v>
      </c>
      <c r="S24" s="1">
        <v>5</v>
      </c>
      <c r="T24" s="26">
        <v>3.7291666666666667E-2</v>
      </c>
      <c r="U24" s="21">
        <f>Tabela1[[#This Row],[KM TOTAL]]-((Tabela1[[#This Row],[KM CASA-BASE (só ida)]]*2*22*10)*1)-240</f>
        <v>5954.2899999999991</v>
      </c>
    </row>
    <row r="25" spans="1:21" ht="14.45" customHeight="1" x14ac:dyDescent="0.25">
      <c r="A25" s="1" t="s">
        <v>10</v>
      </c>
      <c r="B25" s="1" t="s">
        <v>63</v>
      </c>
      <c r="C25" t="s">
        <v>78</v>
      </c>
      <c r="D25" s="9">
        <v>7470.1900000000014</v>
      </c>
      <c r="E25" s="3">
        <v>105.95999999999998</v>
      </c>
      <c r="F25" s="5">
        <v>3361.5</v>
      </c>
      <c r="G25" s="6">
        <f>1635.39*10</f>
        <v>16353.900000000001</v>
      </c>
      <c r="H25" s="6">
        <f>SUM(F25,G25)</f>
        <v>19715.400000000001</v>
      </c>
      <c r="I25" s="6">
        <f>H25/10</f>
        <v>1971.5400000000002</v>
      </c>
      <c r="J25" s="1" t="s">
        <v>72</v>
      </c>
      <c r="K25" s="1">
        <v>0</v>
      </c>
      <c r="L25" s="1">
        <v>100</v>
      </c>
      <c r="M25" s="1">
        <v>0</v>
      </c>
      <c r="N25" s="1">
        <v>35</v>
      </c>
      <c r="O25" s="1">
        <v>65</v>
      </c>
      <c r="P25" s="11">
        <v>9.09</v>
      </c>
      <c r="Q25" s="1">
        <v>3</v>
      </c>
      <c r="R25" s="17">
        <f>Tabela1[[#This Row],[KM PÓS TURNO]]/Tabela1[[#This Row],[DIAS PÓS TURNO]]</f>
        <v>3.03</v>
      </c>
      <c r="S25" s="1">
        <v>18</v>
      </c>
      <c r="T25" s="26">
        <v>8.1041666666666665E-2</v>
      </c>
      <c r="U25" s="21">
        <f>Tabela1[[#This Row],[KM TOTAL]]-(Tabela1[[#This Row],[KM CASA-BASE (só ida)]]*2*22*10)*2</f>
        <v>-8369.8099999999977</v>
      </c>
    </row>
    <row r="26" spans="1:21" ht="14.45" customHeight="1" x14ac:dyDescent="0.25">
      <c r="A26" s="1" t="s">
        <v>13</v>
      </c>
      <c r="B26" s="1" t="s">
        <v>63</v>
      </c>
      <c r="C26" t="s">
        <v>14</v>
      </c>
      <c r="D26" s="9">
        <v>7038.4399999999987</v>
      </c>
      <c r="E26" s="3">
        <v>92.86999999999999</v>
      </c>
      <c r="F26" s="5">
        <v>3167.1</v>
      </c>
      <c r="G26" s="6">
        <f>1635.39*10</f>
        <v>16353.900000000001</v>
      </c>
      <c r="H26" s="6">
        <f>SUM(F26,G26)</f>
        <v>19521</v>
      </c>
      <c r="I26" s="6">
        <f>H26/10</f>
        <v>1952.1</v>
      </c>
      <c r="J26" s="1" t="s">
        <v>72</v>
      </c>
      <c r="K26" s="1">
        <v>50</v>
      </c>
      <c r="L26" s="1">
        <v>50</v>
      </c>
      <c r="M26" s="1">
        <v>0</v>
      </c>
      <c r="N26" s="1">
        <v>35</v>
      </c>
      <c r="O26" s="1">
        <v>65</v>
      </c>
      <c r="P26" s="11">
        <v>2.85</v>
      </c>
      <c r="Q26" s="1">
        <v>1</v>
      </c>
      <c r="R26" s="17">
        <f>Tabela1[[#This Row],[KM PÓS TURNO]]/Tabela1[[#This Row],[DIAS PÓS TURNO]]</f>
        <v>2.85</v>
      </c>
      <c r="S26" s="1">
        <v>12</v>
      </c>
      <c r="T26" s="26">
        <v>6.6296296296296298E-2</v>
      </c>
      <c r="U26" s="21">
        <f>Tabela1[[#This Row],[KM TOTAL]]-(Tabela1[[#This Row],[KM CASA-BASE (só ida)]]*2*22*10)*1.5</f>
        <v>-881.56000000000131</v>
      </c>
    </row>
    <row r="27" spans="1:21" ht="14.45" customHeight="1" x14ac:dyDescent="0.25">
      <c r="A27" s="1" t="s">
        <v>29</v>
      </c>
      <c r="B27" s="1" t="s">
        <v>64</v>
      </c>
      <c r="C27" t="s">
        <v>30</v>
      </c>
      <c r="D27" s="7">
        <v>30694.190000000002</v>
      </c>
      <c r="E27" s="10">
        <v>4382.21</v>
      </c>
      <c r="F27" s="5">
        <v>13811.1</v>
      </c>
      <c r="G27" s="6">
        <f>1635.39*10</f>
        <v>16353.900000000001</v>
      </c>
      <c r="H27" s="6">
        <f>SUM(F27,G27)</f>
        <v>30165</v>
      </c>
      <c r="I27" s="6">
        <f>H27/10</f>
        <v>3016.5</v>
      </c>
      <c r="J27" s="1" t="s">
        <v>72</v>
      </c>
      <c r="K27" s="1">
        <v>90</v>
      </c>
      <c r="L27" s="1">
        <v>0</v>
      </c>
      <c r="M27" s="1">
        <v>10</v>
      </c>
      <c r="N27" s="1">
        <v>35</v>
      </c>
      <c r="O27" s="1">
        <v>65</v>
      </c>
      <c r="P27" s="11">
        <v>16.670000000000002</v>
      </c>
      <c r="Q27" s="1">
        <v>6</v>
      </c>
      <c r="R27" s="17">
        <f>Tabela1[[#This Row],[KM PÓS TURNO]]/Tabela1[[#This Row],[DIAS PÓS TURNO]]</f>
        <v>2.7783333333333338</v>
      </c>
      <c r="S27" s="1">
        <v>45</v>
      </c>
      <c r="T27" s="26">
        <v>4.3668981481481482E-2</v>
      </c>
      <c r="U27" s="21">
        <f>Tabela1[[#This Row],[KM TOTAL]]-((Tabela1[[#This Row],[KM CASA-BASE (só ida)]]*2*22*10)*1)-60</f>
        <v>10834.190000000002</v>
      </c>
    </row>
    <row r="28" spans="1:21" ht="14.45" customHeight="1" x14ac:dyDescent="0.25">
      <c r="A28" s="1" t="s">
        <v>53</v>
      </c>
      <c r="B28" s="1" t="s">
        <v>67</v>
      </c>
      <c r="C28" t="s">
        <v>54</v>
      </c>
      <c r="D28" s="8">
        <v>15248.470000000003</v>
      </c>
      <c r="E28" s="8">
        <v>177.60000000000002</v>
      </c>
      <c r="F28" s="5">
        <v>6861.6</v>
      </c>
      <c r="G28" s="6">
        <f>1635.39*10</f>
        <v>16353.900000000001</v>
      </c>
      <c r="H28" s="6">
        <f>SUM(F28,G28)</f>
        <v>23215.5</v>
      </c>
      <c r="I28" s="6">
        <f>H28/10</f>
        <v>2321.5500000000002</v>
      </c>
      <c r="J28" s="1" t="s">
        <v>72</v>
      </c>
      <c r="K28" s="1">
        <v>0</v>
      </c>
      <c r="L28" s="1">
        <v>100</v>
      </c>
      <c r="M28" s="1">
        <v>0</v>
      </c>
      <c r="N28" s="1">
        <v>50</v>
      </c>
      <c r="O28" s="1">
        <v>50</v>
      </c>
      <c r="P28" s="11">
        <v>12.94</v>
      </c>
      <c r="Q28" s="1">
        <v>5</v>
      </c>
      <c r="R28" s="17">
        <f>Tabela1[[#This Row],[KM PÓS TURNO]]/Tabela1[[#This Row],[DIAS PÓS TURNO]]</f>
        <v>2.5880000000000001</v>
      </c>
      <c r="S28" s="1">
        <v>7</v>
      </c>
      <c r="T28" s="26">
        <v>6.5706018518518525E-2</v>
      </c>
      <c r="U28" s="21">
        <f>Tabela1[[#This Row],[KM TOTAL]]-(Tabela1[[#This Row],[KM CASA-BASE (só ida)]]*2*22*10)*2</f>
        <v>9088.470000000003</v>
      </c>
    </row>
    <row r="29" spans="1:21" ht="14.45" customHeight="1" x14ac:dyDescent="0.25">
      <c r="A29" s="1" t="s">
        <v>21</v>
      </c>
      <c r="B29" s="1" t="s">
        <v>63</v>
      </c>
      <c r="C29" t="s">
        <v>22</v>
      </c>
      <c r="D29" s="9">
        <v>9984.489999999998</v>
      </c>
      <c r="E29" s="3">
        <v>126.07999999999998</v>
      </c>
      <c r="F29" s="5">
        <v>4492.8</v>
      </c>
      <c r="G29" s="6">
        <f>1635.39*10</f>
        <v>16353.900000000001</v>
      </c>
      <c r="H29" s="6">
        <f>SUM(F29,G29)</f>
        <v>20846.7</v>
      </c>
      <c r="I29" s="6">
        <f>H29/10</f>
        <v>2084.67</v>
      </c>
      <c r="J29" s="1" t="s">
        <v>72</v>
      </c>
      <c r="K29" s="1">
        <v>40</v>
      </c>
      <c r="L29" s="1">
        <v>0</v>
      </c>
      <c r="M29" s="1">
        <v>60</v>
      </c>
      <c r="N29" s="1">
        <v>35</v>
      </c>
      <c r="O29" s="1">
        <v>65</v>
      </c>
      <c r="P29" s="11">
        <v>5.37</v>
      </c>
      <c r="Q29" s="1">
        <v>3</v>
      </c>
      <c r="R29" s="17">
        <f>Tabela1[[#This Row],[KM PÓS TURNO]]/Tabela1[[#This Row],[DIAS PÓS TURNO]]</f>
        <v>1.79</v>
      </c>
      <c r="S29" s="1">
        <v>4</v>
      </c>
      <c r="T29" s="26">
        <v>4.6481481481481485E-2</v>
      </c>
      <c r="U29" s="21">
        <f>Tabela1[[#This Row],[KM TOTAL]]-((Tabela1[[#This Row],[KM CASA-BASE (só ida)]]*2*22*10)*1)-360</f>
        <v>7864.489999999998</v>
      </c>
    </row>
    <row r="30" spans="1:21" ht="14.45" customHeight="1" x14ac:dyDescent="0.25">
      <c r="A30" s="1" t="s">
        <v>31</v>
      </c>
      <c r="B30" s="1" t="s">
        <v>67</v>
      </c>
      <c r="C30" t="s">
        <v>32</v>
      </c>
      <c r="D30" s="8">
        <v>11119.420000000002</v>
      </c>
      <c r="E30" s="10">
        <v>899.44</v>
      </c>
      <c r="F30" s="5">
        <v>5003.55</v>
      </c>
      <c r="G30" s="6">
        <f>1635.39*10</f>
        <v>16353.900000000001</v>
      </c>
      <c r="H30" s="6">
        <f>SUM(F30,G30)</f>
        <v>21357.45</v>
      </c>
      <c r="I30" s="6">
        <f>H30/10</f>
        <v>2135.7449999999999</v>
      </c>
      <c r="J30" s="1" t="s">
        <v>72</v>
      </c>
      <c r="K30" s="1">
        <v>50</v>
      </c>
      <c r="L30" s="1">
        <v>0</v>
      </c>
      <c r="M30" s="1">
        <v>50</v>
      </c>
      <c r="N30" s="1">
        <v>40</v>
      </c>
      <c r="O30" s="1">
        <v>60</v>
      </c>
      <c r="P30" s="11">
        <v>4.88</v>
      </c>
      <c r="Q30" s="1">
        <v>3</v>
      </c>
      <c r="R30" s="17">
        <f>Tabela1[[#This Row],[KM PÓS TURNO]]/Tabela1[[#This Row],[DIAS PÓS TURNO]]</f>
        <v>1.6266666666666667</v>
      </c>
      <c r="S30" s="1">
        <v>8</v>
      </c>
      <c r="T30" s="26">
        <v>6.6446759259259261E-2</v>
      </c>
      <c r="U30" s="21">
        <f>Tabela1[[#This Row],[KM TOTAL]]-((Tabela1[[#This Row],[KM CASA-BASE (só ida)]]*2*22*10)*1)-300</f>
        <v>7299.4200000000019</v>
      </c>
    </row>
    <row r="31" spans="1:21" ht="14.45" customHeight="1" x14ac:dyDescent="0.25">
      <c r="A31" s="1" t="s">
        <v>60</v>
      </c>
      <c r="B31" s="1" t="s">
        <v>67</v>
      </c>
      <c r="C31" s="22" t="s">
        <v>75</v>
      </c>
      <c r="D31" s="8">
        <v>18994.370000000003</v>
      </c>
      <c r="E31" s="2">
        <v>1.07</v>
      </c>
      <c r="F31" s="5">
        <v>8547.2999999999993</v>
      </c>
      <c r="G31" s="6">
        <f>2586.41*10</f>
        <v>25864.1</v>
      </c>
      <c r="H31" s="6">
        <f>SUM(F31,G31)</f>
        <v>34411.399999999994</v>
      </c>
      <c r="I31" s="6">
        <f>H31/10</f>
        <v>3441.1399999999994</v>
      </c>
      <c r="J31" s="1" t="s">
        <v>73</v>
      </c>
      <c r="K31" s="1">
        <v>100</v>
      </c>
      <c r="L31" s="1">
        <v>0</v>
      </c>
      <c r="M31" s="1">
        <v>0</v>
      </c>
      <c r="N31" s="1">
        <v>50</v>
      </c>
      <c r="O31" s="1">
        <v>50</v>
      </c>
      <c r="P31" s="11">
        <v>0.83</v>
      </c>
      <c r="Q31" s="1">
        <v>1</v>
      </c>
      <c r="R31" s="17">
        <v>0.83</v>
      </c>
      <c r="S31" s="1">
        <v>15</v>
      </c>
      <c r="T31" s="26">
        <v>0.11210648148148149</v>
      </c>
      <c r="U31" s="21">
        <f>Tabela1[[#This Row],[KM TOTAL]]</f>
        <v>18994.370000000003</v>
      </c>
    </row>
    <row r="32" spans="1:21" ht="14.45" customHeight="1" x14ac:dyDescent="0.25">
      <c r="A32" s="1" t="s">
        <v>2</v>
      </c>
      <c r="B32" s="1" t="s">
        <v>63</v>
      </c>
      <c r="C32" t="s">
        <v>3</v>
      </c>
      <c r="D32" s="9">
        <v>8544.9699999999993</v>
      </c>
      <c r="E32" s="2">
        <v>37.31</v>
      </c>
      <c r="F32" s="5">
        <v>3845.25</v>
      </c>
      <c r="G32" s="6">
        <f>1635.39*10</f>
        <v>16353.900000000001</v>
      </c>
      <c r="H32" s="6">
        <f>SUM(F32,G32)</f>
        <v>20199.150000000001</v>
      </c>
      <c r="I32" s="6">
        <f>H32/10</f>
        <v>2019.9150000000002</v>
      </c>
      <c r="J32" s="1" t="s">
        <v>72</v>
      </c>
      <c r="K32" s="1">
        <v>70</v>
      </c>
      <c r="L32" s="1">
        <v>30</v>
      </c>
      <c r="M32" s="1">
        <v>0</v>
      </c>
      <c r="N32" s="1">
        <v>35</v>
      </c>
      <c r="O32" s="1">
        <v>65</v>
      </c>
      <c r="P32" s="11">
        <v>1.02</v>
      </c>
      <c r="Q32" s="1">
        <v>2</v>
      </c>
      <c r="R32" s="17">
        <f>Tabela1[[#This Row],[KM PÓS TURNO]]/Tabela1[[#This Row],[DIAS PÓS TURNO]]</f>
        <v>0.51</v>
      </c>
      <c r="S32" s="1">
        <v>14</v>
      </c>
      <c r="T32" s="26">
        <v>5.275462962962963E-2</v>
      </c>
      <c r="U32" s="21">
        <f>Tabela1[[#This Row],[KM TOTAL]]-(Tabela1[[#This Row],[KM CASA-BASE (só ida)]]*2*22*10)*1.3</f>
        <v>536.96999999999935</v>
      </c>
    </row>
    <row r="33" spans="1:21" ht="14.45" customHeight="1" x14ac:dyDescent="0.25">
      <c r="A33" s="1" t="s">
        <v>57</v>
      </c>
      <c r="B33" s="1" t="s">
        <v>67</v>
      </c>
      <c r="C33" t="s">
        <v>58</v>
      </c>
      <c r="D33" s="8">
        <v>11166.259999999998</v>
      </c>
      <c r="E33" s="10">
        <v>586.33000000000004</v>
      </c>
      <c r="F33" s="5">
        <v>5024.7</v>
      </c>
      <c r="G33" s="6">
        <f>1635.39*10</f>
        <v>16353.900000000001</v>
      </c>
      <c r="H33" s="6">
        <f>SUM(F33,G33)</f>
        <v>21378.600000000002</v>
      </c>
      <c r="I33" s="6">
        <f>H33/10</f>
        <v>2137.86</v>
      </c>
      <c r="J33" s="1" t="s">
        <v>72</v>
      </c>
      <c r="K33" s="1">
        <v>50</v>
      </c>
      <c r="L33" s="1">
        <v>50</v>
      </c>
      <c r="M33" s="1">
        <v>0</v>
      </c>
      <c r="N33" s="1">
        <v>35</v>
      </c>
      <c r="O33" s="1">
        <v>65</v>
      </c>
      <c r="P33" s="11">
        <v>0</v>
      </c>
      <c r="Q33" s="1">
        <v>0</v>
      </c>
      <c r="R33" s="17">
        <v>0</v>
      </c>
      <c r="S33" s="1">
        <v>9</v>
      </c>
      <c r="T33" s="26">
        <v>0.10185185185185185</v>
      </c>
      <c r="U33" s="21">
        <f>Tabela1[[#This Row],[KM TOTAL]]-(Tabela1[[#This Row],[KM CASA-BASE (só ida)]]*2*22*10)*1.5</f>
        <v>5226.2599999999984</v>
      </c>
    </row>
    <row r="34" spans="1:21" ht="14.45" customHeight="1" x14ac:dyDescent="0.25">
      <c r="A34" s="1" t="s">
        <v>40</v>
      </c>
      <c r="B34" s="1" t="s">
        <v>67</v>
      </c>
      <c r="C34" t="s">
        <v>77</v>
      </c>
      <c r="D34" s="8">
        <v>15999.269999999999</v>
      </c>
      <c r="E34" s="10">
        <v>2493.64</v>
      </c>
      <c r="F34" s="5">
        <v>7199.55</v>
      </c>
      <c r="G34" s="6">
        <f>1635.39*10</f>
        <v>16353.900000000001</v>
      </c>
      <c r="H34" s="6">
        <f>SUM(F34,G34)</f>
        <v>23553.45</v>
      </c>
      <c r="I34" s="6">
        <f>H34/10</f>
        <v>2355.3450000000003</v>
      </c>
      <c r="J34" s="1" t="s">
        <v>73</v>
      </c>
      <c r="K34" s="1">
        <v>50</v>
      </c>
      <c r="L34" s="1">
        <v>0</v>
      </c>
      <c r="M34" s="1">
        <v>50</v>
      </c>
      <c r="N34" s="1">
        <v>20</v>
      </c>
      <c r="O34" s="1">
        <v>80</v>
      </c>
      <c r="P34" s="11">
        <v>0</v>
      </c>
      <c r="Q34" s="1">
        <v>0</v>
      </c>
      <c r="R34" s="17">
        <v>0</v>
      </c>
      <c r="S34" s="1">
        <v>22</v>
      </c>
      <c r="T34" s="26">
        <v>2.6504629629629628E-2</v>
      </c>
      <c r="U34" s="21">
        <f>Tabela1[[#This Row],[KM TOTAL]]-((Tabela1[[#This Row],[KM CASA-BASE (só ida)]]*2*22*10)*1)-300</f>
        <v>6019.2699999999986</v>
      </c>
    </row>
    <row r="35" spans="1:21" ht="14.45" customHeight="1" x14ac:dyDescent="0.25">
      <c r="A35" s="1" t="s">
        <v>27</v>
      </c>
      <c r="B35" s="1" t="s">
        <v>64</v>
      </c>
      <c r="C35" t="s">
        <v>28</v>
      </c>
      <c r="D35" s="7">
        <v>24972.309999999998</v>
      </c>
      <c r="E35" s="10">
        <v>920.93999999999994</v>
      </c>
      <c r="F35" s="5">
        <v>11249.4</v>
      </c>
      <c r="G35" s="6">
        <f>1635.39*10</f>
        <v>16353.900000000001</v>
      </c>
      <c r="H35" s="6">
        <f>SUM(F35,G35)</f>
        <v>27603.300000000003</v>
      </c>
      <c r="I35" s="6">
        <f>H35/10</f>
        <v>2760.3300000000004</v>
      </c>
      <c r="J35" s="1" t="s">
        <v>72</v>
      </c>
      <c r="K35" s="1">
        <v>0</v>
      </c>
      <c r="L35" s="1">
        <v>100</v>
      </c>
      <c r="M35" s="1">
        <v>0</v>
      </c>
      <c r="N35" s="1">
        <v>35</v>
      </c>
      <c r="O35" s="1">
        <v>65</v>
      </c>
      <c r="P35" s="11">
        <v>0</v>
      </c>
      <c r="Q35" s="1">
        <v>0</v>
      </c>
      <c r="R35" s="17">
        <v>0</v>
      </c>
      <c r="S35" s="1">
        <v>18</v>
      </c>
      <c r="T35" s="26">
        <v>4.1388888888888892E-2</v>
      </c>
      <c r="U35" s="21">
        <f>Tabela1[[#This Row],[KM TOTAL]]-(Tabela1[[#This Row],[KM CASA-BASE (só ida)]]*2*22*10)*2</f>
        <v>9132.3099999999977</v>
      </c>
    </row>
    <row r="36" spans="1:21" ht="14.45" customHeight="1" x14ac:dyDescent="0.25">
      <c r="D36" s="4"/>
      <c r="E36" s="4"/>
      <c r="I36" s="6"/>
    </row>
    <row r="37" spans="1:21" ht="14.45" customHeight="1" x14ac:dyDescent="0.25">
      <c r="C37" s="28"/>
      <c r="D37" s="28"/>
      <c r="N37" s="1"/>
      <c r="R37" s="11"/>
    </row>
    <row r="39" spans="1:21" x14ac:dyDescent="0.25">
      <c r="I39" s="6"/>
    </row>
    <row r="42" spans="1:21" x14ac:dyDescent="0.25">
      <c r="C42" s="28"/>
      <c r="D42" s="28"/>
    </row>
    <row r="47" spans="1:21" x14ac:dyDescent="0.25">
      <c r="C47" s="28"/>
      <c r="D47" s="28"/>
    </row>
    <row r="48" spans="1:21" x14ac:dyDescent="0.25">
      <c r="C48" s="1"/>
      <c r="D48" s="6"/>
    </row>
    <row r="49" spans="3:4" x14ac:dyDescent="0.25">
      <c r="C49" s="1"/>
      <c r="D49" s="6"/>
    </row>
    <row r="51" spans="3:4" x14ac:dyDescent="0.25">
      <c r="C51" s="28"/>
      <c r="D51" s="28"/>
    </row>
    <row r="55" spans="3:4" x14ac:dyDescent="0.25">
      <c r="C55" s="28"/>
      <c r="D55" s="28"/>
    </row>
    <row r="60" spans="3:4" x14ac:dyDescent="0.25">
      <c r="C60" s="28"/>
      <c r="D60" s="28"/>
    </row>
    <row r="61" spans="3:4" x14ac:dyDescent="0.25">
      <c r="D61" s="23"/>
    </row>
    <row r="62" spans="3:4" x14ac:dyDescent="0.25">
      <c r="D62" s="23"/>
    </row>
    <row r="64" spans="3:4" x14ac:dyDescent="0.25">
      <c r="C64" s="28"/>
      <c r="D64" s="28"/>
    </row>
    <row r="68" spans="3:4" x14ac:dyDescent="0.25">
      <c r="C68" s="28"/>
      <c r="D68" s="28"/>
    </row>
    <row r="69" spans="3:4" x14ac:dyDescent="0.25">
      <c r="D69" s="24"/>
    </row>
    <row r="70" spans="3:4" x14ac:dyDescent="0.25">
      <c r="D70" s="24"/>
    </row>
    <row r="71" spans="3:4" x14ac:dyDescent="0.25">
      <c r="D71" s="24"/>
    </row>
  </sheetData>
  <mergeCells count="8">
    <mergeCell ref="C64:D64"/>
    <mergeCell ref="C68:D68"/>
    <mergeCell ref="C37:D37"/>
    <mergeCell ref="C42:D42"/>
    <mergeCell ref="C47:D47"/>
    <mergeCell ref="C51:D51"/>
    <mergeCell ref="C55:D55"/>
    <mergeCell ref="C60:D60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Antonio Zimmermann</dc:creator>
  <cp:lastModifiedBy>Augusto Antonio Zimmermann</cp:lastModifiedBy>
  <dcterms:created xsi:type="dcterms:W3CDTF">2025-12-04T18:24:27Z</dcterms:created>
  <dcterms:modified xsi:type="dcterms:W3CDTF">2026-02-09T20:37:15Z</dcterms:modified>
</cp:coreProperties>
</file>